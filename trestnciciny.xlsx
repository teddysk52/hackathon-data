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vancopyright/Desktop/"/>
    </mc:Choice>
  </mc:AlternateContent>
  <xr:revisionPtr revIDLastSave="0" documentId="8_{4339E5DB-699F-D44D-B0A8-41E186F520C1}" xr6:coauthVersionLast="47" xr6:coauthVersionMax="47" xr10:uidLastSave="{00000000-0000-0000-0000-000000000000}"/>
  <bookViews>
    <workbookView xWindow="0" yWindow="740" windowWidth="26740" windowHeight="14620" xr2:uid="{00000000-000D-0000-FFFF-FFFF00000000}"/>
  </bookViews>
  <sheets>
    <sheet name="Kompletace" sheetId="3" r:id="rId1"/>
  </sheets>
  <definedNames>
    <definedName name="ExterníData_2" localSheetId="0" hidden="1">Kompletace!$H$43:$K$54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1" i="3" l="1"/>
  <c r="Q54" i="3"/>
  <c r="Q53" i="3"/>
  <c r="Q52" i="3"/>
  <c r="Q50" i="3"/>
  <c r="Q49" i="3"/>
  <c r="Q47" i="3"/>
  <c r="Q46" i="3"/>
  <c r="Q45" i="3"/>
  <c r="Q4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17A6CD-4377-42C4-BDB3-BB683C9BF7A1}" keepAlive="1" name="Dotaz – pocetsvitidelnakm" description="Připojení k dotazu produktu pocetsvitidelnakm v sešitě" type="5" refreshedVersion="6" background="1" saveData="1">
    <dbPr connection="Provider=Microsoft.Mashup.OleDb.1;Data Source=$Workbook$;Location=pocetsvitidelnakm;Extended Properties=&quot;&quot;" command="SELECT * FROM [pocetsvitidelnakm]"/>
  </connection>
  <connection id="2" xr16:uid="{A20E8B3D-541B-4121-B6CB-A022F7123D45}" keepAlive="1" name="Dotaz – pocetsvitidelnakm (2)" description="Připojení k dotazu produktu pocetsvitidelnakm (2) v sešitě" type="5" refreshedVersion="6" background="1" saveData="1">
    <dbPr connection="Provider=Microsoft.Mashup.OleDb.1;Data Source=$Workbook$;Location=&quot;pocetsvitidelnakm (2)&quot;;Extended Properties=&quot;&quot;" command="SELECT * FROM [pocetsvitidelnakm (2)]"/>
  </connection>
  <connection id="3" xr16:uid="{759039CB-5DB5-444C-B8B3-E061B30042DC}" keepAlive="1" name="Dotaz – verejne_osvetleni" description="Připojení k dotazu produktu verejne_osvetleni v sešitě" type="5" refreshedVersion="6" background="1" saveData="1">
    <dbPr connection="Provider=Microsoft.Mashup.OleDb.1;Data Source=$Workbook$;Location=verejne_osvetleni;Extended Properties=&quot;&quot;" command="SELECT * FROM [verejne_osvetleni]"/>
  </connection>
  <connection id="4" xr16:uid="{BBFFBABB-9453-4238-9BF4-E069CBA5C23D}" keepAlive="1" name="Dotaz – verejne_osvetleni (2)" description="Připojení k dotazu produktu verejne_osvetleni (2) v sešitě" type="5" refreshedVersion="6" background="1" saveData="1">
    <dbPr connection="Provider=Microsoft.Mashup.OleDb.1;Data Source=$Workbook$;Location=&quot;verejne_osvetleni (2)&quot;;Extended Properties=&quot;&quot;" command="SELECT * FROM [verejne_osvetleni (2)]"/>
  </connection>
</connections>
</file>

<file path=xl/sharedStrings.xml><?xml version="1.0" encoding="utf-8"?>
<sst xmlns="http://schemas.openxmlformats.org/spreadsheetml/2006/main" count="51" uniqueCount="41">
  <si>
    <t>Plzeň 3</t>
  </si>
  <si>
    <t>Plzeň 4</t>
  </si>
  <si>
    <t>Plzeň 2</t>
  </si>
  <si>
    <t>Plzeň 1</t>
  </si>
  <si>
    <t>Plzeň 9</t>
  </si>
  <si>
    <t>Plzeň 7</t>
  </si>
  <si>
    <t>Plzeň 8</t>
  </si>
  <si>
    <t>Plzeň 6</t>
  </si>
  <si>
    <t>Plzeň 5</t>
  </si>
  <si>
    <t>Plzeň 10</t>
  </si>
  <si>
    <t>Column2</t>
  </si>
  <si>
    <t>Column3</t>
  </si>
  <si>
    <t>Column4</t>
  </si>
  <si>
    <t>Column6</t>
  </si>
  <si>
    <t xml:space="preserve"> Městský obvod </t>
  </si>
  <si>
    <t xml:space="preserve"> Přibližný počet svítidel </t>
  </si>
  <si>
    <t xml:space="preserve"> Plocha (km²) </t>
  </si>
  <si>
    <t xml:space="preserve"> Svítidel na 1 km² </t>
  </si>
  <si>
    <t xml:space="preserve"> Plzeň 1       </t>
  </si>
  <si>
    <t xml:space="preserve"> 24,73        </t>
  </si>
  <si>
    <t xml:space="preserve"> Plzeň 2       </t>
  </si>
  <si>
    <t xml:space="preserve"> 18,56        </t>
  </si>
  <si>
    <t xml:space="preserve"> Plzeň 3       </t>
  </si>
  <si>
    <t xml:space="preserve"> 34,87        </t>
  </si>
  <si>
    <t xml:space="preserve"> Plzeň 4       </t>
  </si>
  <si>
    <t xml:space="preserve"> 18,88        </t>
  </si>
  <si>
    <t xml:space="preserve"> Plzeň 5       </t>
  </si>
  <si>
    <t xml:space="preserve"> 7,76         </t>
  </si>
  <si>
    <t xml:space="preserve"> Plzeň 6       </t>
  </si>
  <si>
    <t xml:space="preserve"> 10,82        </t>
  </si>
  <si>
    <t xml:space="preserve"> Plzeň 7       </t>
  </si>
  <si>
    <t xml:space="preserve"> 4,12         </t>
  </si>
  <si>
    <t xml:space="preserve"> Plzeň 8       </t>
  </si>
  <si>
    <t xml:space="preserve"> 5,00         </t>
  </si>
  <si>
    <t xml:space="preserve"> Plzeň 9       </t>
  </si>
  <si>
    <t xml:space="preserve"> 9,03         </t>
  </si>
  <si>
    <t xml:space="preserve"> Plzeň 10      </t>
  </si>
  <si>
    <t xml:space="preserve"> 3,89         </t>
  </si>
  <si>
    <t>obvod</t>
  </si>
  <si>
    <t>pocet</t>
  </si>
  <si>
    <t>podil_%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</si>
</sst>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0" borderId="2" xfId="0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Trestné</a:t>
            </a:r>
            <a:r>
              <a:rPr lang="cs-CZ" baseline="0"/>
              <a:t> činy na 1 obyvatele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Kompletace!$P$45:$P$54</c:f>
              <c:strCache>
                <c:ptCount val="10"/>
                <c:pt idx="0">
                  <c:v> Plzeň 4       </c:v>
                </c:pt>
                <c:pt idx="1">
                  <c:v> Plzeň 2       </c:v>
                </c:pt>
                <c:pt idx="2">
                  <c:v> Plzeň 7       </c:v>
                </c:pt>
                <c:pt idx="3">
                  <c:v> Plzeň 3       </c:v>
                </c:pt>
                <c:pt idx="4">
                  <c:v> Plzeň 1       </c:v>
                </c:pt>
                <c:pt idx="5">
                  <c:v> Plzeň 9       </c:v>
                </c:pt>
                <c:pt idx="6">
                  <c:v> Plzeň 8       </c:v>
                </c:pt>
                <c:pt idx="7">
                  <c:v> Plzeň 10      </c:v>
                </c:pt>
                <c:pt idx="8">
                  <c:v> Plzeň 5       </c:v>
                </c:pt>
                <c:pt idx="9">
                  <c:v> Plzeň 6       </c:v>
                </c:pt>
              </c:strCache>
            </c:strRef>
          </c:cat>
          <c:val>
            <c:numRef>
              <c:f>Kompletace!$Q$45:$Q$54</c:f>
              <c:numCache>
                <c:formatCode>0.00</c:formatCode>
                <c:ptCount val="10"/>
                <c:pt idx="0">
                  <c:v>7.2127293337251777E-2</c:v>
                </c:pt>
                <c:pt idx="1">
                  <c:v>8.4027777777777785E-2</c:v>
                </c:pt>
                <c:pt idx="2">
                  <c:v>2.9357798165137616E-2</c:v>
                </c:pt>
                <c:pt idx="3">
                  <c:v>0.14439246428119865</c:v>
                </c:pt>
                <c:pt idx="4">
                  <c:v>6.1908095198880013E-2</c:v>
                </c:pt>
                <c:pt idx="5">
                  <c:v>2.9629629629629631E-2</c:v>
                </c:pt>
                <c:pt idx="6">
                  <c:v>0.30567451820128477</c:v>
                </c:pt>
                <c:pt idx="7">
                  <c:v>1.8321513002364065E-2</c:v>
                </c:pt>
                <c:pt idx="8">
                  <c:v>6.0107039934129268E-2</c:v>
                </c:pt>
                <c:pt idx="9">
                  <c:v>7.8959174517720956E-2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C-46F8-8292-3E860E933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7522800"/>
        <c:axId val="1397528048"/>
      </c:barChart>
      <c:catAx>
        <c:axId val="139752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97528048"/>
        <c:crosses val="autoZero"/>
        <c:auto val="1"/>
        <c:lblAlgn val="ctr"/>
        <c:lblOffset val="100"/>
        <c:noMultiLvlLbl val="0"/>
      </c:catAx>
      <c:valAx>
        <c:axId val="139752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9752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816768</xdr:colOff>
      <xdr:row>21</xdr:row>
      <xdr:rowOff>126206</xdr:rowOff>
    </xdr:from>
    <xdr:to>
      <xdr:col>12</xdr:col>
      <xdr:colOff>454818</xdr:colOff>
      <xdr:row>36</xdr:row>
      <xdr:rowOff>154781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7AC67777-2AE4-4996-B6BD-17AE270E9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íData_2" connectionId="2" xr16:uid="{DEEDAAC9-B6B4-41CE-8855-19F9B6002EB4}" autoFormatId="16" applyNumberFormats="0" applyBorderFormats="0" applyFontFormats="0" applyPatternFormats="0" applyAlignmentFormats="0" applyWidthHeightFormats="0">
  <queryTableRefresh nextId="8">
    <queryTableFields count="4">
      <queryTableField id="2" name="Column2" tableColumnId="2"/>
      <queryTableField id="3" name="Column3" tableColumnId="3"/>
      <queryTableField id="4" name="Column4" tableColumnId="4"/>
      <queryTableField id="6" name="Column6" tableColumnId="6"/>
    </queryTableFields>
    <queryTableDeletedFields count="3">
      <deletedField name="Column1"/>
      <deletedField name="Column7"/>
      <deletedField name="Column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7783B3-DDCA-484C-94DC-94458ACE53F9}" name="pocetsvitidelnakm5" displayName="pocetsvitidelnakm5" ref="H43:K54" tableType="queryTable" totalsRowShown="0">
  <autoFilter ref="H43:K54" xr:uid="{0E7383E8-A886-4610-A503-2A9C91D725CB}"/>
  <sortState xmlns:xlrd2="http://schemas.microsoft.com/office/spreadsheetml/2017/richdata2" ref="H44:K54">
    <sortCondition descending="1" ref="K2:K12"/>
  </sortState>
  <tableColumns count="4">
    <tableColumn id="2" xr3:uid="{45E9A318-57CB-4046-81D2-F75B10B5A148}" uniqueName="2" name="Column2" queryTableFieldId="2"/>
    <tableColumn id="3" xr3:uid="{2F957BCD-0A5A-479E-8A8E-36CC277FCAE3}" uniqueName="3" name="Column3" queryTableFieldId="3"/>
    <tableColumn id="4" xr3:uid="{267362BD-D413-4039-975B-63FAEE5F9A6B}" uniqueName="4" name="Column4" queryTableFieldId="4"/>
    <tableColumn id="6" xr3:uid="{C572F5FE-57FB-4FFD-BA69-ABF3895EDAC1}" uniqueName="6" name="Column6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08BB-9606-4355-8531-EE1C30DA3F09}">
  <dimension ref="D43:Q54"/>
  <sheetViews>
    <sheetView tabSelected="1" topLeftCell="B26" workbookViewId="0">
      <selection activeCell="F34" sqref="F34"/>
    </sheetView>
  </sheetViews>
  <sheetFormatPr baseColWidth="10" defaultColWidth="8.83203125" defaultRowHeight="15" x14ac:dyDescent="0.2"/>
  <cols>
    <col min="8" max="8" width="13.33203125" customWidth="1"/>
    <col min="9" max="9" width="19.1640625" customWidth="1"/>
    <col min="10" max="10" width="11.6640625" customWidth="1"/>
    <col min="11" max="11" width="15.83203125" customWidth="1"/>
  </cols>
  <sheetData>
    <row r="43" spans="4:17" x14ac:dyDescent="0.2">
      <c r="D43" s="1" t="s">
        <v>38</v>
      </c>
      <c r="E43" s="1" t="s">
        <v>39</v>
      </c>
      <c r="F43" s="1" t="s">
        <v>40</v>
      </c>
      <c r="H43" t="s">
        <v>10</v>
      </c>
      <c r="I43" t="s">
        <v>11</v>
      </c>
      <c r="J43" t="s">
        <v>12</v>
      </c>
      <c r="K43" t="s">
        <v>13</v>
      </c>
    </row>
    <row r="44" spans="4:17" x14ac:dyDescent="0.2">
      <c r="D44" t="s">
        <v>0</v>
      </c>
      <c r="E44">
        <v>7994</v>
      </c>
      <c r="F44">
        <v>47.79</v>
      </c>
      <c r="H44" t="s">
        <v>14</v>
      </c>
      <c r="I44" t="s">
        <v>15</v>
      </c>
      <c r="J44" t="s">
        <v>16</v>
      </c>
      <c r="K44" t="s">
        <v>17</v>
      </c>
    </row>
    <row r="45" spans="4:17" x14ac:dyDescent="0.2">
      <c r="D45" t="s">
        <v>2</v>
      </c>
      <c r="E45">
        <v>3025</v>
      </c>
      <c r="F45">
        <v>18.079999999999998</v>
      </c>
      <c r="H45" t="s">
        <v>24</v>
      </c>
      <c r="I45">
        <v>4400</v>
      </c>
      <c r="J45" t="s">
        <v>25</v>
      </c>
      <c r="K45">
        <v>233</v>
      </c>
      <c r="M45">
        <v>23819</v>
      </c>
      <c r="P45" s="3" t="s">
        <v>24</v>
      </c>
      <c r="Q45" s="4">
        <f>E47/M45</f>
        <v>7.2127293337251777E-2</v>
      </c>
    </row>
    <row r="46" spans="4:17" x14ac:dyDescent="0.2">
      <c r="D46" t="s">
        <v>3</v>
      </c>
      <c r="E46">
        <v>3007</v>
      </c>
      <c r="F46">
        <v>17.98</v>
      </c>
      <c r="H46" t="s">
        <v>20</v>
      </c>
      <c r="I46">
        <v>4000</v>
      </c>
      <c r="J46" t="s">
        <v>21</v>
      </c>
      <c r="K46">
        <v>216</v>
      </c>
      <c r="M46">
        <v>36000</v>
      </c>
      <c r="P46" s="2" t="s">
        <v>20</v>
      </c>
      <c r="Q46" s="4">
        <f>E45/M46</f>
        <v>8.4027777777777785E-2</v>
      </c>
    </row>
    <row r="47" spans="4:17" x14ac:dyDescent="0.2">
      <c r="D47" t="s">
        <v>1</v>
      </c>
      <c r="E47">
        <v>1718</v>
      </c>
      <c r="F47">
        <v>10.27</v>
      </c>
      <c r="H47" t="s">
        <v>30</v>
      </c>
      <c r="I47">
        <v>800</v>
      </c>
      <c r="J47" t="s">
        <v>31</v>
      </c>
      <c r="K47">
        <v>194</v>
      </c>
      <c r="M47">
        <v>1090</v>
      </c>
      <c r="P47" s="3" t="s">
        <v>30</v>
      </c>
      <c r="Q47" s="4">
        <f>E51/M47</f>
        <v>2.9357798165137616E-2</v>
      </c>
    </row>
    <row r="48" spans="4:17" x14ac:dyDescent="0.2">
      <c r="D48" t="s">
        <v>6</v>
      </c>
      <c r="E48">
        <v>571</v>
      </c>
      <c r="F48">
        <v>3.41</v>
      </c>
      <c r="H48" t="s">
        <v>22</v>
      </c>
      <c r="I48">
        <v>6200</v>
      </c>
      <c r="J48" t="s">
        <v>23</v>
      </c>
      <c r="K48">
        <v>178</v>
      </c>
      <c r="M48">
        <v>55363</v>
      </c>
      <c r="P48" s="2" t="s">
        <v>22</v>
      </c>
      <c r="Q48" s="4">
        <f>E44/M48</f>
        <v>0.14439246428119865</v>
      </c>
    </row>
    <row r="49" spans="4:17" x14ac:dyDescent="0.2">
      <c r="D49" t="s">
        <v>7</v>
      </c>
      <c r="E49">
        <v>176</v>
      </c>
      <c r="F49">
        <v>1.05</v>
      </c>
      <c r="H49" t="s">
        <v>18</v>
      </c>
      <c r="I49">
        <v>3800</v>
      </c>
      <c r="J49" t="s">
        <v>19</v>
      </c>
      <c r="K49">
        <v>154</v>
      </c>
      <c r="M49">
        <v>48572</v>
      </c>
      <c r="P49" s="3" t="s">
        <v>18</v>
      </c>
      <c r="Q49" s="4">
        <f>E46/M49</f>
        <v>6.1908095198880013E-2</v>
      </c>
    </row>
    <row r="50" spans="4:17" x14ac:dyDescent="0.2">
      <c r="D50" t="s">
        <v>8</v>
      </c>
      <c r="E50">
        <v>146</v>
      </c>
      <c r="F50">
        <v>0.87</v>
      </c>
      <c r="H50" t="s">
        <v>34</v>
      </c>
      <c r="I50">
        <v>1000</v>
      </c>
      <c r="J50" t="s">
        <v>35</v>
      </c>
      <c r="K50">
        <v>111</v>
      </c>
      <c r="M50">
        <v>945</v>
      </c>
      <c r="P50" s="2" t="s">
        <v>34</v>
      </c>
      <c r="Q50" s="4">
        <f>E53/M50</f>
        <v>2.9629629629629631E-2</v>
      </c>
    </row>
    <row r="51" spans="4:17" x14ac:dyDescent="0.2">
      <c r="D51" t="s">
        <v>5</v>
      </c>
      <c r="E51">
        <v>32</v>
      </c>
      <c r="F51">
        <v>0.19</v>
      </c>
      <c r="H51" t="s">
        <v>32</v>
      </c>
      <c r="I51">
        <v>500</v>
      </c>
      <c r="J51" t="s">
        <v>33</v>
      </c>
      <c r="K51">
        <v>100</v>
      </c>
      <c r="M51">
        <v>1868</v>
      </c>
      <c r="P51" s="3" t="s">
        <v>32</v>
      </c>
      <c r="Q51" s="4">
        <f>E48/M51</f>
        <v>0.30567451820128477</v>
      </c>
    </row>
    <row r="52" spans="4:17" x14ac:dyDescent="0.2">
      <c r="D52" t="s">
        <v>9</v>
      </c>
      <c r="E52">
        <v>31</v>
      </c>
      <c r="F52">
        <v>0.19</v>
      </c>
      <c r="H52" t="s">
        <v>36</v>
      </c>
      <c r="I52">
        <v>160</v>
      </c>
      <c r="J52" t="s">
        <v>37</v>
      </c>
      <c r="K52">
        <v>41</v>
      </c>
      <c r="M52">
        <v>1692</v>
      </c>
      <c r="P52" s="2" t="s">
        <v>36</v>
      </c>
      <c r="Q52" s="4">
        <f>E52/M52</f>
        <v>1.8321513002364065E-2</v>
      </c>
    </row>
    <row r="53" spans="4:17" x14ac:dyDescent="0.2">
      <c r="D53" t="s">
        <v>4</v>
      </c>
      <c r="E53">
        <v>28</v>
      </c>
      <c r="F53">
        <v>0.17</v>
      </c>
      <c r="H53" t="s">
        <v>26</v>
      </c>
      <c r="I53">
        <v>300</v>
      </c>
      <c r="J53" t="s">
        <v>27</v>
      </c>
      <c r="K53">
        <v>39</v>
      </c>
      <c r="M53">
        <v>2429</v>
      </c>
      <c r="P53" s="3" t="s">
        <v>26</v>
      </c>
      <c r="Q53" s="4">
        <f>E50/M53</f>
        <v>6.0107039934129268E-2</v>
      </c>
    </row>
    <row r="54" spans="4:17" x14ac:dyDescent="0.2">
      <c r="H54" t="s">
        <v>28</v>
      </c>
      <c r="I54">
        <v>400</v>
      </c>
      <c r="J54" t="s">
        <v>29</v>
      </c>
      <c r="K54">
        <v>37</v>
      </c>
      <c r="M54">
        <v>2229</v>
      </c>
      <c r="P54" s="2" t="s">
        <v>28</v>
      </c>
      <c r="Q54" s="4">
        <f>E49/M54</f>
        <v>7.8959174517720956E-2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506732-05d0-462a-8131-31b5aa3238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1EC6179924FB042A20DA2F7D3DF5AF6" ma:contentTypeVersion="11" ma:contentTypeDescription="Vytvoří nový dokument" ma:contentTypeScope="" ma:versionID="97fc47277007f15f520d4a4021664dd2">
  <xsd:schema xmlns:xsd="http://www.w3.org/2001/XMLSchema" xmlns:xs="http://www.w3.org/2001/XMLSchema" xmlns:p="http://schemas.microsoft.com/office/2006/metadata/properties" xmlns:ns3="c1506732-05d0-462a-8131-31b5aa323816" targetNamespace="http://schemas.microsoft.com/office/2006/metadata/properties" ma:root="true" ma:fieldsID="ccabe34fc497caa3880d0cfe6e01a2fb" ns3:_="">
    <xsd:import namespace="c1506732-05d0-462a-8131-31b5aa3238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6732-05d0-462a-8131-31b5aa3238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86C48264-0393-4B70-942F-888611BEABFA}">
  <ds:schemaRefs>
    <ds:schemaRef ds:uri="http://schemas.microsoft.com/office/2006/documentManagement/types"/>
    <ds:schemaRef ds:uri="http://purl.org/dc/dcmitype/"/>
    <ds:schemaRef ds:uri="http://purl.org/dc/elements/1.1/"/>
    <ds:schemaRef ds:uri="c1506732-05d0-462a-8131-31b5aa323816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4D7F578-FB2F-4EFD-A57A-253B8B42E8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506732-05d0-462a-8131-31b5aa3238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7229D4-A5D4-4D17-A783-198F99DEAF4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1F440F-8FC8-4EE9-A456-C9D0CDECB2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Kompletace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Štěpán Mádr</dc:creator>
  <cp:lastModifiedBy>Ivan Alipov</cp:lastModifiedBy>
  <dcterms:created xsi:type="dcterms:W3CDTF">2025-11-07T20:04:58Z</dcterms:created>
  <dcterms:modified xsi:type="dcterms:W3CDTF">2025-11-08T08:42:26Z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0x01010031EC6179924FB042A20DA2F7D3DF5AF6</vt:lpwstr>
  </property>
</Properties>
</file>